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https://d.docs.live.net/85b49e2924bff09f/Book/춘천고등학교/2025/담임업무/수업량 유연화 (일본 애니 사회적)/"/>
    </mc:Choice>
  </mc:AlternateContent>
  <xr:revisionPtr revIDLastSave="159" documentId="13_ncr:1_{ACA08E72-D016-4949-8F69-FB5FBD741FE3}" xr6:coauthVersionLast="47" xr6:coauthVersionMax="47" xr10:uidLastSave="{9A2D07BB-3FDB-47B0-9510-5D3F28FF6F2F}"/>
  <bookViews>
    <workbookView xWindow="-110" yWindow="-110" windowWidth="38620" windowHeight="21100" tabRatio="888" xr2:uid="{00000000-000D-0000-FFFF-FFFF00000000}"/>
  </bookViews>
  <sheets>
    <sheet name="기후변화(교사주도)" sheetId="3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3" l="1"/>
  <c r="H15" i="33" s="1"/>
  <c r="G17" i="33"/>
  <c r="H17" i="33" s="1"/>
  <c r="G16" i="33"/>
  <c r="H16" i="33" s="1"/>
  <c r="G14" i="33"/>
  <c r="H14" i="33" s="1"/>
  <c r="G13" i="33"/>
  <c r="H13" i="33" s="1"/>
  <c r="G12" i="33"/>
  <c r="H12" i="33" s="1"/>
  <c r="G11" i="33"/>
  <c r="H11" i="33" s="1"/>
  <c r="G10" i="33"/>
  <c r="H10" i="33" s="1"/>
  <c r="G9" i="33"/>
  <c r="H9" i="33" s="1"/>
  <c r="G8" i="33"/>
  <c r="H8" i="33" s="1"/>
  <c r="G7" i="33"/>
  <c r="H7" i="33" s="1"/>
  <c r="G6" i="33"/>
  <c r="H6" i="33" s="1"/>
</calcChain>
</file>

<file path=xl/sharedStrings.xml><?xml version="1.0" encoding="utf-8"?>
<sst xmlns="http://schemas.openxmlformats.org/spreadsheetml/2006/main" count="47" uniqueCount="44">
  <si>
    <t>전체
바이트수</t>
  </si>
  <si>
    <t>이름</t>
  </si>
  <si>
    <t>진행 기간</t>
    <phoneticPr fontId="6" type="noConversion"/>
  </si>
  <si>
    <t>공통 선행문구</t>
    <phoneticPr fontId="6" type="noConversion"/>
  </si>
  <si>
    <t>[2학년] 모두가 존중받고 참여하는 스포츠(11시간)</t>
    <phoneticPr fontId="6" type="noConversion"/>
  </si>
  <si>
    <t>학년</t>
    <phoneticPr fontId="6" type="noConversion"/>
  </si>
  <si>
    <t>반</t>
    <phoneticPr fontId="6" type="noConversion"/>
  </si>
  <si>
    <t>번호</t>
    <phoneticPr fontId="6" type="noConversion"/>
  </si>
  <si>
    <t>프로그램명(강좌명)</t>
    <phoneticPr fontId="6" type="noConversion"/>
  </si>
  <si>
    <t>2학기 
바이트수</t>
    <phoneticPr fontId="6" type="noConversion"/>
  </si>
  <si>
    <t>관련 교과목</t>
    <phoneticPr fontId="6" type="noConversion"/>
  </si>
  <si>
    <t>담당교사</t>
    <phoneticPr fontId="6" type="noConversion"/>
  </si>
  <si>
    <t>2025.12.18.-2025.12.19.</t>
    <phoneticPr fontId="6" type="noConversion"/>
  </si>
  <si>
    <r>
      <t>2학기 교과융합 프로젝트 '</t>
    </r>
    <r>
      <rPr>
        <i/>
        <sz val="10"/>
        <color rgb="FFFF0000"/>
        <rFont val="맑은 고딕"/>
        <family val="3"/>
        <charset val="129"/>
        <scheme val="major"/>
      </rPr>
      <t>프로그램명</t>
    </r>
    <r>
      <rPr>
        <sz val="10"/>
        <rFont val="맑은 고딕"/>
        <family val="3"/>
        <charset val="129"/>
        <scheme val="major"/>
      </rPr>
      <t>'(2025.12.18.-2025.12.19.)에 참여함.</t>
    </r>
    <phoneticPr fontId="6" type="noConversion"/>
  </si>
  <si>
    <t>학생별 내용</t>
    <phoneticPr fontId="6" type="noConversion"/>
  </si>
  <si>
    <r>
      <t xml:space="preserve">2학기 학교 자율적 교육과정 </t>
    </r>
    <r>
      <rPr>
        <b/>
        <sz val="22"/>
        <color theme="0"/>
        <rFont val="HY견고딕"/>
        <family val="1"/>
        <charset val="129"/>
      </rPr>
      <t>자율활동 특기사항 작성 (500바이트)</t>
    </r>
    <phoneticPr fontId="6" type="noConversion"/>
  </si>
  <si>
    <t>애니메이션을 사회적으로 분석한 나만의 웹사이트 만들기</t>
    <phoneticPr fontId="6" type="noConversion"/>
  </si>
  <si>
    <t>장원재</t>
    <phoneticPr fontId="6" type="noConversion"/>
  </si>
  <si>
    <t>정보, 도시의 미래탐구, 사회와 문화</t>
    <phoneticPr fontId="6" type="noConversion"/>
  </si>
  <si>
    <t>2학기 교과융합 프로젝트 '애니메이션을 사회적으로 분석한 나만의 웹사이트 만들기'(2025.12.18.-2025.12.19.)에 참여함. 프로젝트 리더 학생으로 총 13차시 수업을 주도적으로 설계하고 '프로그래밍' 부분의 수업을 진행함. 선정한 작품 속 스가 신사, 스와호, 신주쿠역의 사회적 의미와 동일본 대지진에 대한 치유 메시지를 담은 웹페이지를 캔버스 기능을 활용해 제작함. 애니메이션과 오디오 제어 기능을 기술 스택을 바탕으로 정교하게 구현하여 주제 전달력을 높였으며 철저한 기획을 바탕으로 페이지를 구현한 점이 돋보임.</t>
    <phoneticPr fontId="6" type="noConversion"/>
  </si>
  <si>
    <t>2학기 교과융합 프로젝트 '애니메이션을 사회적으로 분석한 나만의 웹사이트 만들기'(2025.12.18.-2025.12.19.)에 참여함. 청소년 밴드를 다룬 애니를 주제로 선정해 '학원제', '신사', '호칭', '라이브 하우스' 네 가지 사회 요소를 바탕으로 작품 속 문화 요소를 분석, 전달하는 웹페이지를 캔버스 기능을 통해 완성함. 작품 테마에 맞는 인터페이스를 지정하고, '상'과 '짱'이라는 호칭 비교를 통해 인물 관계 변화를 소개하는 등 내용과 형식이 조화롭게 이루어진 웹페이지를 완성함.</t>
    <phoneticPr fontId="6" type="noConversion"/>
  </si>
  <si>
    <t>2학기 교과융합 프로젝트 '애니메이션을 사회적으로 분석한 나만의 웹사이트 만들기'(2025.12.18.-2025.12.19.)에 참여함. 어린 아이의 일상을 다룬 작품 선정 후, '잦은 지진에 따른 저층 단독주택', '전국시대 무사 갑옷', '과거 회상 장면'을 통해 드러난 산업 구조의 변화 및 일본사회 발전'을 상세하게 표현하는 동적 웹페이지를 캔버스 기능을 통해 완성함. 지속적 수정을 통해 책장을 넘기는 애니메이션 효과를 구현한 점, 롤백 기능 등을 활용해 점층적으로 개선한 점이 돋보임.</t>
    <phoneticPr fontId="6" type="noConversion"/>
  </si>
  <si>
    <t>2학기 교과융합 프로젝트 '애니메이션을 사회적으로 분석한 나만의 웹사이트 만들기'(2025.12.18.-2025.12.19.)에 참여함. 텔레비전의 일본 애니메이션 산업의 발전과 특징을 설명하고 오니(도깨비)와의 싸움을 다룬 인기 작품을 주제로 '무사와 책임의식', '다이쇼 로망', '기모노와 신토 사상' 등을 설명하는 웹페이지를 캔버스 기능을 통해 완성함. 배경에 벚꽃이 내리는 효과, 마우스 움직임에 따라 칼의 궤적과 같은 동작을 구현하는 등 작품에 어울리는 동적 효과를 상세한 프롬프트를 통해 구현한 점이 돋보임.</t>
    <phoneticPr fontId="6" type="noConversion"/>
  </si>
  <si>
    <t>2학기 교과융합 프로젝트 '애니메이션을 사회적으로 분석한 나만의 웹사이트 만들기'(2025.12.18.-2025.12.19.)에 참여함. 사이버펑크 세계관 속 불안정한 세계 속 청소년을 다룬 작품을 주제로 '미래 도시', '의학과 기술의 융합', '바이크 장면' 등을 키워드로 작품과 사회적 특징을 설명하는 웹페이지를 캔버스 기능을 통해 완성함. 세로 스크롤 형태로 내용을 제시하고, 작품 속 유명 장면과 이를 패러디한 장면을 함께 제시하는 구성을 활용해 사용자의 눈을 끄는 매력적 웹페이지를 완성한 점이 돋보임.</t>
    <phoneticPr fontId="6" type="noConversion"/>
  </si>
  <si>
    <t>2학기 교과융합 프로젝트 '애니메이션을 사회적으로 분석한 나만의 웹사이트 만들기'(2025.12.18.-2025.12.19.)에 참여함. 현실과 판타지가 융합된 세계관 속 주인공의 성장과 성취를 다룬 작품을 주제로 선정해 '생존', '각자도생', '확실하고 확인할 수 있는 보상'을 키워드로 작품에 반영된 한국사회 특징과 작품 성공 사이의 연관성을 설명하는 웹페이지를 캔버스 기능을 통해 완성함. 주제별 페이지 구현과 풍부하게 이미지를 활용한 점이 돋보임.</t>
    <phoneticPr fontId="6" type="noConversion"/>
  </si>
  <si>
    <t>2학기 교과융합 프로젝트 '애니메이션을 사회적으로 분석한 나만의 웹사이트 만들기'(2025.12.18.-2025.12.19.)에 참여함. 거대로봇을 소재로 청소년의 내적-외적 갈등을 다룬 애니메이션의 사회적 요소(첨단 방어·감시 강화 도시, 적대적 존재의 종교적 의미)를 선정·해석해 캔버스기능을 활용해 웹페이지를 구현함. 분위기에 맞는 색상과 육각형 패턴, 클릭 시 설명 페이지 전환 기능 구현 등 내용–형식의 조화를 추구한 점이 돋보임.</t>
    <phoneticPr fontId="6" type="noConversion"/>
  </si>
  <si>
    <t>제작 페이지 링크</t>
    <phoneticPr fontId="6" type="noConversion"/>
  </si>
  <si>
    <t>https://lunikeu77.github.io/Aeopho/</t>
  </si>
  <si>
    <t>https://hanhuman3145.github.io/blog/</t>
  </si>
  <si>
    <t>https://yamihyeon.github.io/i-am-so-so-so-so-tired/</t>
    <phoneticPr fontId="6" type="noConversion"/>
  </si>
  <si>
    <t>https://drake0949-creator.github.io/botchi/</t>
  </si>
  <si>
    <t>https://hkhkhkhkk.github.io/Hkkkkkkk/</t>
  </si>
  <si>
    <t>https://hanhuman3145.github.io/anan11/</t>
    <phoneticPr fontId="6" type="noConversion"/>
  </si>
  <si>
    <t>https://bsmgogo2019-cmd.github.io/-/</t>
    <phoneticPr fontId="6" type="noConversion"/>
  </si>
  <si>
    <t>https://sya10058.github.io/-/</t>
    <phoneticPr fontId="6" type="noConversion"/>
  </si>
  <si>
    <t>https://yoyoshow.github.io/-/</t>
    <phoneticPr fontId="6" type="noConversion"/>
  </si>
  <si>
    <t>https://yoyoshow.github.io/school1/</t>
    <phoneticPr fontId="6" type="noConversion"/>
  </si>
  <si>
    <t>https://leemho-creator.github.io/leeminho/</t>
    <phoneticPr fontId="6" type="noConversion"/>
  </si>
  <si>
    <t>https://khrebs0807-debug.github.io/-/</t>
    <phoneticPr fontId="6" type="noConversion"/>
  </si>
  <si>
    <t>2학기 교과융합 프로젝트 '애니메이션을 사회적으로 분석한 나만의 웹사이트 만들기'(2025.12.18.-2025.12.19.)에 참여함. 생존을 위해 거인과의 사투를 다룬 작품을 주제로 작품 속 문화 융합 사례로 '동양적 외모와 서양적 이름의 조화', '중세 성곽 도시 모습', '북유럽 신화 모티프'를 선정해 상세하게 설명하는 웹페이지를 캔버스로 완성함. 움직이는 이미지 활용, 성벽풍 배경 이미지 등 시각적 효과를 상세한 프롬프트를 활용해 구현한 점이 돋보임.</t>
    <phoneticPr fontId="6" type="noConversion"/>
  </si>
  <si>
    <t>2학기 교과융합 프로젝트 '애니메이션을 사회적으로 분석한 나만의 웹사이트 만들기'(2025.12.18.-2025.12.19.)에 참여함. 프로젝트 리더학생으로 총 13차시 수업을 주도적으로 설계하고 웹, 대형언어모델, 캔버스 기능 수업을 진행함. 전쟁, 사랑을 소재로 한 작품을 골라 캔버스 기능을 활용해 세로 스크롤과 음악 재생 기능, 작품 소개 및 사회적 특징(편지, 전쟁, 의상 등)과 주제의 연관성을 설명하는 내용을 유기적으로 결합해 전달하는 웹페이지를 완성함. 특히 가독성 향상을 위한 정량적 수정을 통해 페이지를 개선한 점이 인상적임.</t>
    <phoneticPr fontId="6" type="noConversion"/>
  </si>
  <si>
    <t>2학기 교과융합 프로젝트 '애니메이션을 사회적으로 분석한 나만의 웹사이트 만들기'(2025.12.18.-2025.12.19.)에 참여함. 프로젝트 리더 학생으로 총 13차시 수업을 주도적으로 설계하고 도시의 발전과 문화의 특징 부분 수업을 진행함. 일본을 배경으로 청소년들의 사랑·갈등을 다룬 작품을 주제로, 사회적 요소(구소련 붕괴, 고층빌딩의 집약적 토지 이용)를 선별·해석해 캔버스로 웹페이지를 구현함. 캐릭터 선택에 따른 동적 색상 표시 기능을 구현했으며, 주석 생성으로 코드 이해를 높이고 정량적 수정 지시로 완성도를 반복 개선함.</t>
    <phoneticPr fontId="6" type="noConversion"/>
  </si>
  <si>
    <t>2학기 교과융합 프로젝트 '애니메이션을 사회적으로 분석한 나만의 웹사이트 만들기'(2025.12.18.-2025.12.19.)에 참여함. 환상적 온천여관에서 겪는 모험을 다룬 작품을 주제로 캔버스 기능을 통해 작품을 설명하는 웹페이지를 제작함. 사전 설계 학습지를 바탕으로 '2:8의 항목 버튼과 설명 페이지 구성', '장면과 사회적 의미(신토, 팔맥만의 신)를 설명하는 애니메이션 파일(GIF) 첨부' 등 1400자 단일 프롬프트를 통해 구조화된 초기 페이지를 만들고 내용 위주 수정을 통해 정돈된 산출물을 제작한 점이 돋보임.</t>
    <phoneticPr fontId="6" type="noConversion"/>
  </si>
  <si>
    <t>2학기 교과융합 프로젝트 '애니메이션을 사회적으로 분석한 나만의 웹사이트 만들기'(2025.12.18.-2025.12.19.)에 참여함. 사이버 펑크 세계관을 바탕으로 청소년의 성장과 좌절을 다룬 작품을 선정해 '미래 기업 도시 속 첨단 기술', '로봇의 일상화', '반응 강화 장치'를 키워드로 인간을 외면한 기술과 사회의 발전, 그럼에도 피어나는 인간성을 상세하게 전달하는 웹페이지를 캔버스 기능으로 완성함. 소재와 표현 의도 사이 연관성을 상세하게 서술한 점이 돋보임.</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</si>
</sst>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rgb="FF000000"/>
      <name val="맑은 고딕"/>
    </font>
    <font>
      <sz val="11"/>
      <color rgb="FF000000"/>
      <name val="맑은 고딕"/>
      <family val="3"/>
      <charset val="129"/>
    </font>
    <font>
      <sz val="12"/>
      <color rgb="FF000000"/>
      <name val="HNC_GO_B_HINT_GS"/>
    </font>
    <font>
      <sz val="10"/>
      <color rgb="FF000000"/>
      <name val="맑은 고딕"/>
      <family val="3"/>
      <charset val="129"/>
    </font>
    <font>
      <sz val="11"/>
      <color rgb="FF767171"/>
      <name val="HY견고딕"/>
      <family val="1"/>
      <charset val="129"/>
    </font>
    <font>
      <sz val="8"/>
      <color rgb="FF767171"/>
      <name val="HY견고딕"/>
      <family val="1"/>
      <charset val="129"/>
    </font>
    <font>
      <sz val="8"/>
      <name val="돋움"/>
      <family val="3"/>
      <charset val="129"/>
    </font>
    <font>
      <sz val="12"/>
      <name val="HY견고딕"/>
      <family val="1"/>
      <charset val="129"/>
    </font>
    <font>
      <sz val="9"/>
      <name val="맑은 고딕"/>
      <family val="3"/>
      <charset val="129"/>
      <scheme val="major"/>
    </font>
    <font>
      <sz val="10"/>
      <name val="맑은 고딕"/>
      <family val="3"/>
      <charset val="129"/>
      <scheme val="major"/>
    </font>
    <font>
      <b/>
      <sz val="10"/>
      <color rgb="FF000000"/>
      <name val="맑은 고딕"/>
      <family val="3"/>
      <charset val="129"/>
      <scheme val="major"/>
    </font>
    <font>
      <i/>
      <sz val="10"/>
      <color rgb="FFFF0000"/>
      <name val="맑은 고딕"/>
      <family val="3"/>
      <charset val="129"/>
      <scheme val="major"/>
    </font>
    <font>
      <sz val="22"/>
      <color rgb="FFFFFFFF"/>
      <name val="HY견고딕"/>
      <family val="1"/>
      <charset val="129"/>
    </font>
    <font>
      <b/>
      <sz val="22"/>
      <name val="HY견고딕"/>
      <family val="1"/>
      <charset val="129"/>
    </font>
    <font>
      <b/>
      <sz val="22"/>
      <color theme="0"/>
      <name val="HY견고딕"/>
      <family val="1"/>
      <charset val="129"/>
    </font>
    <font>
      <u/>
      <sz val="9"/>
      <name val="맑은 고딕"/>
      <family val="3"/>
      <charset val="129"/>
      <scheme val="major"/>
    </font>
    <font>
      <u/>
      <sz val="10"/>
      <name val="맑은 고딕"/>
      <family val="3"/>
      <charset val="129"/>
      <scheme val="major"/>
    </font>
    <font>
      <u/>
      <sz val="11"/>
      <color theme="10"/>
      <name val="맑은 고딕"/>
      <family val="3"/>
      <charset val="129"/>
    </font>
    <font>
      <u/>
      <sz val="10"/>
      <color rgb="FF0000FF"/>
      <name val="Roboto"/>
    </font>
  </fonts>
  <fills count="7">
    <fill>
      <patternFill patternType="none"/>
    </fill>
    <fill>
      <patternFill patternType="gray125"/>
    </fill>
    <fill>
      <patternFill patternType="solid">
        <fgColor rgb="FFDDEBF7"/>
        <bgColor indexed="64"/>
      </patternFill>
    </fill>
    <fill>
      <patternFill patternType="solid">
        <fgColor rgb="FFC49DD6"/>
        <bgColor indexed="64"/>
      </patternFill>
    </fill>
    <fill>
      <patternFill patternType="solid">
        <fgColor rgb="FFD8BEE4"/>
        <bgColor indexed="64"/>
      </patternFill>
    </fill>
    <fill>
      <patternFill patternType="solid">
        <fgColor rgb="FFFFFFFF"/>
        <bgColor rgb="FFFFFFFF"/>
      </patternFill>
    </fill>
    <fill>
      <patternFill patternType="solid">
        <fgColor rgb="FFF6F8F9"/>
        <bgColor rgb="FFF6F8F9"/>
      </patternFill>
    </fill>
  </fills>
  <borders count="15">
    <border>
      <left/>
      <right/>
      <top/>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indexed="64"/>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right style="thin">
        <color theme="1" tint="0.499984740745262"/>
      </right>
      <top style="medium">
        <color indexed="64"/>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medium">
        <color indexed="64"/>
      </bottom>
      <diagonal/>
    </border>
  </borders>
  <cellStyleXfs count="3">
    <xf numFmtId="0" fontId="0" fillId="0" borderId="0">
      <alignment vertical="center"/>
    </xf>
    <xf numFmtId="0" fontId="2" fillId="0" borderId="0">
      <alignment vertical="center"/>
    </xf>
    <xf numFmtId="0" fontId="17" fillId="0" borderId="0" applyNumberFormat="0" applyFill="0" applyBorder="0" applyAlignment="0" applyProtection="0">
      <alignment vertical="center"/>
    </xf>
  </cellStyleXfs>
  <cellXfs count="46">
    <xf numFmtId="0" fontId="0" fillId="0" borderId="0" xfId="0">
      <alignment vertical="center"/>
    </xf>
    <xf numFmtId="0" fontId="3" fillId="0" borderId="0" xfId="0" applyFont="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9" fillId="0" borderId="2" xfId="0" applyFont="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pplyProtection="1">
      <alignment horizontal="center" vertical="center"/>
      <protection locked="0"/>
    </xf>
    <xf numFmtId="0" fontId="1" fillId="0" borderId="0" xfId="0" applyFont="1">
      <alignment vertical="center"/>
    </xf>
    <xf numFmtId="0" fontId="7" fillId="4" borderId="4" xfId="0" applyFont="1" applyFill="1" applyBorder="1" applyAlignment="1">
      <alignment horizontal="center" vertical="center"/>
    </xf>
    <xf numFmtId="0" fontId="9" fillId="0" borderId="1" xfId="0" applyFont="1" applyBorder="1" applyAlignment="1" applyProtection="1">
      <alignment horizontal="center" vertical="center" wrapText="1"/>
      <protection locked="0"/>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pplyProtection="1">
      <alignment horizontal="center" vertical="center"/>
      <protection locked="0"/>
    </xf>
    <xf numFmtId="0" fontId="16" fillId="0" borderId="1" xfId="0" applyFont="1" applyBorder="1" applyAlignment="1" applyProtection="1">
      <alignment horizontal="center" vertical="center" wrapText="1"/>
      <protection locked="0"/>
    </xf>
    <xf numFmtId="0" fontId="1" fillId="0" borderId="0" xfId="0" applyFont="1" applyAlignment="1">
      <alignment vertical="center" wrapText="1"/>
    </xf>
    <xf numFmtId="0" fontId="0" fillId="6" borderId="0" xfId="0" applyFill="1" applyAlignment="1"/>
    <xf numFmtId="0" fontId="0" fillId="5" borderId="0" xfId="0" applyFill="1" applyAlignment="1"/>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18" fillId="5" borderId="1" xfId="0" applyFont="1" applyFill="1" applyBorder="1">
      <alignment vertical="center"/>
    </xf>
    <xf numFmtId="0" fontId="17" fillId="6" borderId="1" xfId="2" applyFill="1" applyBorder="1">
      <alignment vertical="center"/>
    </xf>
    <xf numFmtId="0" fontId="18" fillId="6" borderId="1" xfId="0" applyFont="1" applyFill="1" applyBorder="1">
      <alignment vertical="center"/>
    </xf>
    <xf numFmtId="0" fontId="17" fillId="5" borderId="1" xfId="2" applyFill="1" applyBorder="1">
      <alignment vertical="center"/>
    </xf>
    <xf numFmtId="0" fontId="17" fillId="0" borderId="1" xfId="2" applyBorder="1">
      <alignment vertical="center"/>
    </xf>
    <xf numFmtId="0" fontId="9" fillId="0" borderId="1" xfId="0" applyFont="1" applyBorder="1" applyAlignment="1">
      <alignment horizontal="left" vertical="center" wrapText="1"/>
    </xf>
    <xf numFmtId="0" fontId="13" fillId="3" borderId="0" xfId="0" applyFont="1" applyFill="1" applyAlignment="1">
      <alignment horizontal="center" vertical="center"/>
    </xf>
    <xf numFmtId="0" fontId="12" fillId="3" borderId="0" xfId="0" applyFont="1" applyFill="1" applyAlignment="1">
      <alignment horizontal="center" vertical="center"/>
    </xf>
    <xf numFmtId="0" fontId="7" fillId="4" borderId="3"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9" fillId="0" borderId="6"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2" xfId="0" applyFont="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4" xfId="0" applyFont="1" applyBorder="1" applyAlignment="1">
      <alignment horizontal="center" vertical="center" wrapText="1"/>
    </xf>
    <xf numFmtId="0" fontId="7" fillId="4" borderId="8"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9" xfId="0" applyFont="1" applyFill="1" applyBorder="1" applyAlignment="1">
      <alignment horizontal="center" vertical="center"/>
    </xf>
    <xf numFmtId="0" fontId="9" fillId="0" borderId="10" xfId="0" applyFont="1" applyBorder="1" applyAlignment="1">
      <alignment horizontal="left" vertical="center" wrapText="1"/>
    </xf>
    <xf numFmtId="0" fontId="9" fillId="0" borderId="11" xfId="0" applyFont="1" applyBorder="1" applyAlignment="1">
      <alignment horizontal="left" vertical="center"/>
    </xf>
    <xf numFmtId="0" fontId="4" fillId="2" borderId="1" xfId="0" applyFont="1" applyFill="1" applyBorder="1" applyAlignment="1">
      <alignment horizontal="center" vertical="center" wrapText="1"/>
    </xf>
  </cellXfs>
  <cellStyles count="3">
    <cellStyle name="표준" xfId="0" builtinId="0"/>
    <cellStyle name="표준 2" xfId="1" xr:uid="{00000000-0005-0000-0000-000001000000}"/>
    <cellStyle name="하이퍼링크" xfId="2" builtinId="8"/>
  </cellStyles>
  <dxfs count="16">
    <dxf>
      <font>
        <color rgb="FFBC0A0E"/>
      </font>
      <fill>
        <patternFill patternType="solid">
          <fgColor indexed="65"/>
          <bgColor rgb="FFFFF7CC"/>
        </patternFill>
      </fill>
    </dxf>
    <dxf>
      <font>
        <color rgb="FFFFFFFF"/>
      </font>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7"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Light Style 1 - Accent 1" table="0" count="7" xr9:uid="{00000000-0011-0000-FFFF-FFFF01000000}">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s>
  <colors>
    <mruColors>
      <color rgb="FFD8BEE4"/>
      <color rgb="FFC49D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20000000000000000000"/>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20000000000000000000"/>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yoyoshow.github.io/school1/" TargetMode="External"/><Relationship Id="rId13" Type="http://schemas.openxmlformats.org/officeDocument/2006/relationships/printerSettings" Target="../printerSettings/printerSettings1.bin"/><Relationship Id="rId3" Type="http://schemas.openxmlformats.org/officeDocument/2006/relationships/hyperlink" Target="https://hanhuman3145.github.io/blog/" TargetMode="External"/><Relationship Id="rId7" Type="http://schemas.openxmlformats.org/officeDocument/2006/relationships/hyperlink" Target="https://leemho-creator.github.io/leeminho/" TargetMode="External"/><Relationship Id="rId12" Type="http://schemas.openxmlformats.org/officeDocument/2006/relationships/hyperlink" Target="https://sya10058.github.io/-/" TargetMode="External"/><Relationship Id="rId2" Type="http://schemas.openxmlformats.org/officeDocument/2006/relationships/hyperlink" Target="https://yamihyeon.github.io/i-am-so-so-so-so-tired/" TargetMode="External"/><Relationship Id="rId1" Type="http://schemas.openxmlformats.org/officeDocument/2006/relationships/hyperlink" Target="https://lunikeu77.github.io/Aeopho/" TargetMode="External"/><Relationship Id="rId6" Type="http://schemas.openxmlformats.org/officeDocument/2006/relationships/hyperlink" Target="https://khrebs0807-debug.github.io/-/" TargetMode="External"/><Relationship Id="rId11" Type="http://schemas.openxmlformats.org/officeDocument/2006/relationships/hyperlink" Target="https://bsmgogo2019-cmd.github.io/-/" TargetMode="External"/><Relationship Id="rId5" Type="http://schemas.openxmlformats.org/officeDocument/2006/relationships/hyperlink" Target="https://hkhkhkhkk.github.io/Hkkkkkkk/" TargetMode="External"/><Relationship Id="rId10" Type="http://schemas.openxmlformats.org/officeDocument/2006/relationships/hyperlink" Target="https://hanhuman3145.github.io/anan11/" TargetMode="External"/><Relationship Id="rId4" Type="http://schemas.openxmlformats.org/officeDocument/2006/relationships/hyperlink" Target="https://drake0949-creator.github.io/botchi/" TargetMode="External"/><Relationship Id="rId9" Type="http://schemas.openxmlformats.org/officeDocument/2006/relationships/hyperlink" Target="https://yoyoshow.github.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
  <sheetViews>
    <sheetView tabSelected="1" zoomScale="130" zoomScaleNormal="130" zoomScaleSheetLayoutView="75" workbookViewId="0">
      <selection activeCell="E9" sqref="E9:F9"/>
    </sheetView>
  </sheetViews>
  <sheetFormatPr defaultColWidth="8.6640625" defaultRowHeight="17"/>
  <cols>
    <col min="1" max="1" width="4.1640625" customWidth="1"/>
    <col min="2" max="3" width="5" customWidth="1"/>
    <col min="4" max="4" width="8.6640625" style="2"/>
    <col min="5" max="5" width="50.58203125" style="1" customWidth="1"/>
    <col min="6" max="6" width="20.58203125" style="3" customWidth="1"/>
    <col min="7" max="8" width="10.58203125" customWidth="1"/>
    <col min="9" max="9" width="43.1640625" bestFit="1" customWidth="1"/>
    <col min="10" max="10" width="8.6640625" hidden="1" customWidth="1"/>
  </cols>
  <sheetData>
    <row r="1" spans="1:10" ht="51" customHeight="1" thickBot="1">
      <c r="A1" s="27" t="s">
        <v>15</v>
      </c>
      <c r="B1" s="28"/>
      <c r="C1" s="28"/>
      <c r="D1" s="28"/>
      <c r="E1" s="28"/>
      <c r="F1" s="28"/>
      <c r="G1" s="28"/>
      <c r="H1" s="28"/>
    </row>
    <row r="2" spans="1:10" ht="20.25" customHeight="1">
      <c r="A2" s="29" t="s">
        <v>11</v>
      </c>
      <c r="B2" s="30"/>
      <c r="C2" s="31"/>
      <c r="D2" s="31"/>
      <c r="E2" s="9" t="s">
        <v>8</v>
      </c>
      <c r="F2" s="9" t="s">
        <v>2</v>
      </c>
      <c r="G2" s="31" t="s">
        <v>3</v>
      </c>
      <c r="H2" s="32"/>
    </row>
    <row r="3" spans="1:10" ht="24.9" customHeight="1">
      <c r="A3" s="33" t="s">
        <v>17</v>
      </c>
      <c r="B3" s="34"/>
      <c r="C3" s="35"/>
      <c r="D3" s="35"/>
      <c r="E3" s="4" t="s">
        <v>16</v>
      </c>
      <c r="F3" s="4" t="s">
        <v>12</v>
      </c>
      <c r="G3" s="36" t="s">
        <v>13</v>
      </c>
      <c r="H3" s="37"/>
    </row>
    <row r="4" spans="1:10" ht="24.9" customHeight="1" thickBot="1">
      <c r="A4" s="40" t="s">
        <v>10</v>
      </c>
      <c r="B4" s="41"/>
      <c r="C4" s="42"/>
      <c r="D4" s="42"/>
      <c r="E4" s="43" t="s">
        <v>18</v>
      </c>
      <c r="F4" s="44"/>
      <c r="G4" s="38"/>
      <c r="H4" s="39"/>
    </row>
    <row r="5" spans="1:10" ht="21.5" customHeight="1">
      <c r="A5" s="18" t="s">
        <v>5</v>
      </c>
      <c r="B5" s="18" t="s">
        <v>6</v>
      </c>
      <c r="C5" s="18" t="s">
        <v>7</v>
      </c>
      <c r="D5" s="18" t="s">
        <v>1</v>
      </c>
      <c r="E5" s="45" t="s">
        <v>14</v>
      </c>
      <c r="F5" s="45"/>
      <c r="G5" s="19" t="s">
        <v>9</v>
      </c>
      <c r="H5" s="19" t="s">
        <v>0</v>
      </c>
      <c r="I5" s="19" t="s">
        <v>26</v>
      </c>
    </row>
    <row r="6" spans="1:10" ht="134.4" customHeight="1">
      <c r="A6" s="11"/>
      <c r="B6" s="12"/>
      <c r="C6" s="12"/>
      <c r="D6" s="13"/>
      <c r="E6" s="26" t="s">
        <v>19</v>
      </c>
      <c r="F6" s="26"/>
      <c r="G6" s="20">
        <f>(LENB(E6)-LEN(E6))*2+LEN(E6)</f>
        <v>692</v>
      </c>
      <c r="H6" s="20">
        <f t="shared" ref="H6:H17" si="0">SUM(G6:G6)</f>
        <v>692</v>
      </c>
      <c r="I6" s="21" t="s">
        <v>27</v>
      </c>
      <c r="J6" s="8" t="s">
        <v>4</v>
      </c>
    </row>
    <row r="7" spans="1:10" ht="138.65" customHeight="1">
      <c r="A7" s="12"/>
      <c r="B7" s="12"/>
      <c r="C7" s="12"/>
      <c r="D7" s="14"/>
      <c r="E7" s="26" t="s">
        <v>40</v>
      </c>
      <c r="F7" s="26"/>
      <c r="G7" s="20">
        <f t="shared" ref="G7:G10" si="1">(LENB(E7)-LEN(E7))*2+LEN(E7)</f>
        <v>703</v>
      </c>
      <c r="H7" s="20">
        <f t="shared" si="0"/>
        <v>703</v>
      </c>
      <c r="I7" s="22" t="s">
        <v>29</v>
      </c>
    </row>
    <row r="8" spans="1:10" ht="171" customHeight="1">
      <c r="A8" s="12"/>
      <c r="B8" s="12"/>
      <c r="C8" s="12"/>
      <c r="D8" s="14"/>
      <c r="E8" s="26" t="s">
        <v>41</v>
      </c>
      <c r="F8" s="26"/>
      <c r="G8" s="20">
        <f t="shared" si="1"/>
        <v>706</v>
      </c>
      <c r="H8" s="20">
        <f t="shared" si="0"/>
        <v>706</v>
      </c>
      <c r="I8" s="21" t="s">
        <v>28</v>
      </c>
    </row>
    <row r="9" spans="1:10" ht="136.75" customHeight="1">
      <c r="A9" s="6"/>
      <c r="B9" s="6"/>
      <c r="C9" s="6"/>
      <c r="D9" s="10"/>
      <c r="E9" s="26" t="s">
        <v>20</v>
      </c>
      <c r="F9" s="26"/>
      <c r="G9" s="20">
        <f t="shared" si="1"/>
        <v>627</v>
      </c>
      <c r="H9" s="20">
        <f t="shared" si="0"/>
        <v>627</v>
      </c>
      <c r="I9" s="23" t="s">
        <v>30</v>
      </c>
      <c r="J9" s="16"/>
    </row>
    <row r="10" spans="1:10" ht="139.75" customHeight="1">
      <c r="A10" s="6"/>
      <c r="B10" s="6"/>
      <c r="C10" s="6"/>
      <c r="D10" s="10"/>
      <c r="E10" s="26" t="s">
        <v>21</v>
      </c>
      <c r="F10" s="26"/>
      <c r="G10" s="20">
        <f t="shared" si="1"/>
        <v>627</v>
      </c>
      <c r="H10" s="20">
        <f t="shared" si="0"/>
        <v>627</v>
      </c>
      <c r="I10" s="21" t="s">
        <v>31</v>
      </c>
      <c r="J10" s="17"/>
    </row>
    <row r="11" spans="1:10" ht="117.65" customHeight="1">
      <c r="A11" s="5"/>
      <c r="B11" s="6"/>
      <c r="C11" s="6"/>
      <c r="D11" s="7"/>
      <c r="E11" s="26" t="s">
        <v>22</v>
      </c>
      <c r="F11" s="26"/>
      <c r="G11" s="20">
        <f>(LENB(E11)-LEN(E11))*2+LEN(E11)</f>
        <v>671</v>
      </c>
      <c r="H11" s="20">
        <f t="shared" si="0"/>
        <v>671</v>
      </c>
      <c r="I11" s="22" t="s">
        <v>38</v>
      </c>
      <c r="J11" s="16"/>
    </row>
    <row r="12" spans="1:10" ht="148.75" customHeight="1">
      <c r="A12" s="5"/>
      <c r="B12" s="6"/>
      <c r="C12" s="6"/>
      <c r="D12" s="7"/>
      <c r="E12" s="26" t="s">
        <v>42</v>
      </c>
      <c r="F12" s="26"/>
      <c r="G12" s="20">
        <f>(LENB(E12)-LEN(E12))*2+LEN(E12)</f>
        <v>666</v>
      </c>
      <c r="H12" s="20">
        <f t="shared" si="0"/>
        <v>666</v>
      </c>
      <c r="I12" s="24" t="s">
        <v>37</v>
      </c>
      <c r="J12" s="8" t="s">
        <v>4</v>
      </c>
    </row>
    <row r="13" spans="1:10" ht="167.4" customHeight="1">
      <c r="A13" s="6"/>
      <c r="B13" s="6"/>
      <c r="C13" s="6"/>
      <c r="D13" s="10"/>
      <c r="E13" s="26" t="s">
        <v>23</v>
      </c>
      <c r="F13" s="26"/>
      <c r="G13" s="20">
        <f t="shared" ref="G13:G15" si="2">(LENB(E13)-LEN(E13))*2+LEN(E13)</f>
        <v>659</v>
      </c>
      <c r="H13" s="20">
        <f t="shared" si="0"/>
        <v>659</v>
      </c>
      <c r="I13" s="22" t="s">
        <v>36</v>
      </c>
    </row>
    <row r="14" spans="1:10" ht="87" customHeight="1">
      <c r="A14" s="6"/>
      <c r="B14" s="6"/>
      <c r="C14" s="6"/>
      <c r="D14" s="10"/>
      <c r="E14" s="26" t="s">
        <v>25</v>
      </c>
      <c r="F14" s="26"/>
      <c r="G14" s="20">
        <f t="shared" si="2"/>
        <v>568</v>
      </c>
      <c r="H14" s="20">
        <f t="shared" si="0"/>
        <v>568</v>
      </c>
      <c r="I14" s="24" t="s">
        <v>35</v>
      </c>
    </row>
    <row r="15" spans="1:10" ht="87" customHeight="1">
      <c r="A15" s="6"/>
      <c r="B15" s="6"/>
      <c r="C15" s="6"/>
      <c r="D15" s="10"/>
      <c r="E15" s="26" t="s">
        <v>24</v>
      </c>
      <c r="F15" s="26"/>
      <c r="G15" s="20">
        <f t="shared" si="2"/>
        <v>585</v>
      </c>
      <c r="H15" s="20">
        <f t="shared" si="0"/>
        <v>585</v>
      </c>
      <c r="I15" s="22" t="s">
        <v>32</v>
      </c>
    </row>
    <row r="16" spans="1:10" ht="87" customHeight="1">
      <c r="A16" s="5"/>
      <c r="B16" s="6"/>
      <c r="C16" s="6"/>
      <c r="D16" s="7"/>
      <c r="E16" s="26" t="s">
        <v>43</v>
      </c>
      <c r="F16" s="26"/>
      <c r="G16" s="20">
        <f>(LENB(E16)-LEN(E16))*2+LEN(E16)</f>
        <v>607</v>
      </c>
      <c r="H16" s="20">
        <f t="shared" si="0"/>
        <v>607</v>
      </c>
      <c r="I16" s="25" t="s">
        <v>33</v>
      </c>
      <c r="J16" s="8" t="s">
        <v>4</v>
      </c>
    </row>
    <row r="17" spans="1:11" ht="87" customHeight="1">
      <c r="A17" s="5"/>
      <c r="B17" s="6"/>
      <c r="C17" s="6"/>
      <c r="D17" s="7"/>
      <c r="E17" s="26" t="s">
        <v>39</v>
      </c>
      <c r="F17" s="26"/>
      <c r="G17" s="20">
        <f>(LENB(E17)-LEN(E17))*2+LEN(E17)</f>
        <v>589</v>
      </c>
      <c r="H17" s="20">
        <f t="shared" si="0"/>
        <v>589</v>
      </c>
      <c r="I17" s="25" t="s">
        <v>34</v>
      </c>
      <c r="J17" s="8" t="s">
        <v>4</v>
      </c>
      <c r="K17" s="15"/>
    </row>
  </sheetData>
  <mergeCells count="20">
    <mergeCell ref="E16:F16"/>
    <mergeCell ref="E17:F17"/>
    <mergeCell ref="E9:F9"/>
    <mergeCell ref="E10:F10"/>
    <mergeCell ref="E11:F11"/>
    <mergeCell ref="E12:F12"/>
    <mergeCell ref="E13:F13"/>
    <mergeCell ref="E14:F14"/>
    <mergeCell ref="E15:F15"/>
    <mergeCell ref="E8:F8"/>
    <mergeCell ref="A1:H1"/>
    <mergeCell ref="A2:D2"/>
    <mergeCell ref="G2:H2"/>
    <mergeCell ref="A3:D3"/>
    <mergeCell ref="G3:H4"/>
    <mergeCell ref="A4:D4"/>
    <mergeCell ref="E4:F4"/>
    <mergeCell ref="E5:F5"/>
    <mergeCell ref="E6:F6"/>
    <mergeCell ref="E7:F7"/>
  </mergeCells>
  <phoneticPr fontId="6" type="noConversion"/>
  <conditionalFormatting sqref="G6:H17">
    <cfRule type="cellIs" dxfId="1" priority="4" operator="equal">
      <formula>0</formula>
    </cfRule>
  </conditionalFormatting>
  <conditionalFormatting sqref="H6:H17">
    <cfRule type="cellIs" dxfId="0" priority="3" operator="greaterThan">
      <formula>1500</formula>
    </cfRule>
  </conditionalFormatting>
  <hyperlinks>
    <hyperlink ref="I6" r:id="rId1" xr:uid="{49AF3DC0-61F3-4C0D-B0DD-9B1E8BA88D19}"/>
    <hyperlink ref="I7" r:id="rId2" xr:uid="{B5A51F19-E157-4D24-BEA5-181FCBD07342}"/>
    <hyperlink ref="I8" r:id="rId3" xr:uid="{179F5070-D83D-467D-850E-6DA38E0B775D}"/>
    <hyperlink ref="I9" r:id="rId4" xr:uid="{054245C4-313F-402A-B7F9-33D18A54BD2A}"/>
    <hyperlink ref="I10" r:id="rId5" xr:uid="{04E48AC5-3557-4CB2-A309-165C0344B951}"/>
    <hyperlink ref="I11" r:id="rId6" xr:uid="{12060892-1C4A-45D0-8DB4-12536BD961B3}"/>
    <hyperlink ref="I12" r:id="rId7" xr:uid="{B2C52E4A-62D0-476E-B9B0-7EBA0B651871}"/>
    <hyperlink ref="I13" r:id="rId8" xr:uid="{BCE23702-3296-4A4B-8529-1A9EB2A3BB50}"/>
    <hyperlink ref="I14" r:id="rId9" xr:uid="{9F1858F1-880E-41D3-AB28-1C242312C2F3}"/>
    <hyperlink ref="I15" r:id="rId10" xr:uid="{C9D5333B-F004-4375-94AD-4F82FB9C8450}"/>
    <hyperlink ref="I16" r:id="rId11" xr:uid="{B975D47E-D849-4FA6-B3E6-3C99907733E5}"/>
    <hyperlink ref="I17" r:id="rId12" xr:uid="{BBC7C59C-7475-447A-908D-3CFD65C22DFB}"/>
  </hyperlinks>
  <pageMargins left="0.74805557727813721" right="0.29805555939674377" top="0.98430556058883667" bottom="0.98430556058883667" header="0.51138889789581299" footer="0.51138889789581299"/>
  <pageSetup paperSize="9" orientation="landscape" r:id="rId13"/>
</worksheet>
</file>

<file path=docProps/app.xml><?xml version="1.0" encoding="utf-8"?>
<Properties xmlns="http://schemas.openxmlformats.org/officeDocument/2006/extended-properties" xmlns:vt="http://schemas.openxmlformats.org/officeDocument/2006/docPropsVTypes">
  <TotalTime>1533</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기후변화(교사주도)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choo.b.c</dc:creator>
  <cp:lastModifiedBy>원재 장</cp:lastModifiedBy>
  <cp:revision>883</cp:revision>
  <cp:lastPrinted>2020-11-20T03:47:40Z</cp:lastPrinted>
  <dcterms:created xsi:type="dcterms:W3CDTF">2015-12-25T13:10:38Z</dcterms:created>
  <dcterms:modified xsi:type="dcterms:W3CDTF">2026-07-22T19:22:15Z</dcterms:modified>
  <cp:version>1100.0100.01</cp:version>
</cp:coreProperties>
</file>